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16" documentId="8_{071639FA-00AA-4128-B9F9-1BA9383A75D0}" xr6:coauthVersionLast="47" xr6:coauthVersionMax="47" xr10:uidLastSave="{253AE081-392A-4C7C-937D-1647428CE1D8}"/>
  <bookViews>
    <workbookView xWindow="-120" yWindow="-120" windowWidth="29040" windowHeight="15720" xr2:uid="{00000000-000D-0000-FFFF-FFFF00000000}"/>
  </bookViews>
  <sheets>
    <sheet name="Expense Report" sheetId="1" r:id="rId1"/>
  </sheets>
  <definedNames>
    <definedName name="Advances">'Expense Report'!#REF!</definedName>
    <definedName name="AllData">Expenses[[DATE]:[Remark]]</definedName>
    <definedName name="BeginDate">'Expense Report'!#REF!</definedName>
    <definedName name="ColumnTitle1">Expenses[[#Headers],[DATE]]</definedName>
    <definedName name="EndDate">'Expense Report'!#REF!</definedName>
    <definedName name="MileageRate">'Expense Report'!#REF!</definedName>
    <definedName name="_xlnm.Print_Titles" localSheetId="0">'Expense Report'!$10:$10</definedName>
    <definedName name="RowTitleRegion1..C7">'Expense Report'!#REF!</definedName>
    <definedName name="RowTitleRegion2..F7">'Expense Report'!$B$4</definedName>
    <definedName name="RowTitleRegion3..J8">'Expense Report'!$F$4</definedName>
    <definedName name="RowTitleRegion4..M8">'Expense Report'!#REF!</definedName>
    <definedName name="RowTitleRegion5..M24">'Expense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1" i="1"/>
  <c r="E22" i="1" l="1"/>
  <c r="F22" i="1"/>
</calcChain>
</file>

<file path=xl/sharedStrings.xml><?xml version="1.0" encoding="utf-8"?>
<sst xmlns="http://schemas.openxmlformats.org/spreadsheetml/2006/main" count="26" uniqueCount="25">
  <si>
    <t>Sales</t>
  </si>
  <si>
    <t>DATE</t>
  </si>
  <si>
    <t>ACCOUNT</t>
  </si>
  <si>
    <t>DESCRIPTION</t>
  </si>
  <si>
    <t>NAME</t>
  </si>
  <si>
    <t>DEPARTMENT</t>
  </si>
  <si>
    <t>POSITION</t>
  </si>
  <si>
    <t>MANAGER</t>
  </si>
  <si>
    <t>Kim Abercrombie</t>
  </si>
  <si>
    <t>Managing Director</t>
  </si>
  <si>
    <t>Michael Tucker</t>
  </si>
  <si>
    <t>TOTALS</t>
  </si>
  <si>
    <t>EXPENSE REPORT</t>
  </si>
  <si>
    <t xml:space="preserve">Rehab Atlas </t>
  </si>
  <si>
    <t>BD</t>
  </si>
  <si>
    <t>Apify - Recovery.com data scraping</t>
  </si>
  <si>
    <t>Remark</t>
  </si>
  <si>
    <t>Amount</t>
  </si>
  <si>
    <t>Domain - www.rehab-atlas.com</t>
  </si>
  <si>
    <t>email - google</t>
  </si>
  <si>
    <t>per month</t>
  </si>
  <si>
    <t>Pandadoc</t>
  </si>
  <si>
    <t>Claude</t>
  </si>
  <si>
    <t>Vercel</t>
  </si>
  <si>
    <t>Antropic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</si>
</sst>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.00_);\(&quot;$&quot;#,##0.00\)"/>
    <numFmt numFmtId="165" formatCode="_(&quot;$&quot;* #,##0.00_);_(&quot;$&quot;* \(#,##0.00\);_(&quot;$&quot;* &quot;-&quot;??_);_(@_)"/>
    <numFmt numFmtId="166" formatCode="&quot;$&quot;#,##0.00&quot;/mile&quot;"/>
    <numFmt numFmtId="167" formatCode="&quot;$&quot;#,##0.00&quot;/day&quot;"/>
    <numFmt numFmtId="168" formatCode="&quot;$&quot;#,##0.00&quot;/night&quot;"/>
    <numFmt numFmtId="169" formatCode="#,##0.0_)&quot; mi.&quot;;\(#,##0.0\)&quot; mi.&quot;"/>
    <numFmt numFmtId="170" formatCode="[&lt;=9999999]###\-####;\(###\)\ ###\-####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/>
      <name val="Cambria"/>
      <family val="2"/>
      <scheme val="major"/>
    </font>
    <font>
      <sz val="22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sz val="11"/>
      <color theme="3"/>
      <name val="Cambria"/>
      <family val="1"/>
      <scheme val="major"/>
    </font>
    <font>
      <sz val="11"/>
      <color theme="3"/>
      <name val="Calibri"/>
      <family val="2"/>
      <scheme val="minor"/>
    </font>
    <font>
      <sz val="11"/>
      <color theme="0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9">
    <xf numFmtId="0" fontId="0" fillId="0" borderId="0">
      <alignment horizontal="left" vertical="center" wrapText="1" indent="1"/>
    </xf>
    <xf numFmtId="169" fontId="1" fillId="0" borderId="0" applyFont="0" applyFill="0" applyBorder="0" applyAlignment="0" applyProtection="0"/>
    <xf numFmtId="164" fontId="1" fillId="0" borderId="0" applyFont="0" applyFill="0" applyBorder="0" applyProtection="0">
      <alignment horizontal="right" vertical="center"/>
    </xf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6" fillId="0" borderId="0" applyNumberFormat="0" applyFill="0" applyProtection="0">
      <alignment vertical="top"/>
    </xf>
    <xf numFmtId="0" fontId="5" fillId="0" borderId="1" applyNumberFormat="0" applyProtection="0">
      <alignment vertical="center"/>
    </xf>
    <xf numFmtId="0" fontId="7" fillId="2" borderId="0" applyNumberFormat="0" applyBorder="0" applyProtection="0">
      <alignment horizontal="center"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Protection="0">
      <alignment horizontal="center" vertical="center"/>
    </xf>
    <xf numFmtId="0" fontId="6" fillId="0" borderId="0" applyNumberFormat="0" applyFill="0" applyBorder="0" applyProtection="0">
      <alignment horizontal="left" vertical="top"/>
    </xf>
    <xf numFmtId="14" fontId="1" fillId="0" borderId="0" applyFont="0" applyFill="0" applyBorder="0" applyAlignment="0">
      <alignment horizontal="left" vertical="center" wrapText="1" indent="1"/>
    </xf>
    <xf numFmtId="170" fontId="1" fillId="0" borderId="0" applyFont="0" applyFill="0" applyBorder="0" applyAlignment="0">
      <alignment horizontal="left" vertical="center" wrapText="1" indent="1"/>
    </xf>
    <xf numFmtId="0" fontId="1" fillId="0" borderId="2" applyNumberFormat="0" applyFont="0" applyFill="0" applyAlignment="0">
      <alignment horizontal="left" vertical="center" wrapText="1" indent="1"/>
    </xf>
    <xf numFmtId="0" fontId="1" fillId="0" borderId="3" applyNumberFormat="0" applyFont="0" applyFill="0" applyAlignment="0">
      <alignment horizontal="left" vertical="center" wrapText="1" indent="1"/>
    </xf>
    <xf numFmtId="166" fontId="6" fillId="0" borderId="0" applyFont="0" applyFill="0" applyBorder="0">
      <alignment horizontal="left" vertical="center" indent="1"/>
    </xf>
    <xf numFmtId="167" fontId="6" fillId="0" borderId="0" applyFont="0" applyFill="0" applyBorder="0">
      <alignment horizontal="left" vertical="center" indent="1"/>
    </xf>
    <xf numFmtId="168" fontId="6" fillId="0" borderId="0" applyFont="0" applyFill="0" applyBorder="0">
      <alignment horizontal="left" vertical="center" indent="1"/>
    </xf>
  </cellStyleXfs>
  <cellXfs count="12">
    <xf numFmtId="0" fontId="0" fillId="0" borderId="0" xfId="0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0" fontId="2" fillId="0" borderId="0" xfId="5">
      <alignment vertical="center"/>
    </xf>
    <xf numFmtId="0" fontId="6" fillId="0" borderId="0" xfId="6">
      <alignment vertical="top"/>
    </xf>
    <xf numFmtId="14" fontId="0" fillId="0" borderId="0" xfId="12" applyFont="1">
      <alignment horizontal="left" vertical="center" wrapText="1" indent="1"/>
    </xf>
    <xf numFmtId="0" fontId="7" fillId="2" borderId="0" xfId="8" applyBorder="1">
      <alignment horizontal="center" vertical="center"/>
    </xf>
    <xf numFmtId="164" fontId="0" fillId="0" borderId="0" xfId="2" applyFont="1">
      <alignment horizontal="right" vertical="center"/>
    </xf>
    <xf numFmtId="0" fontId="3" fillId="0" borderId="0" xfId="3" applyAlignment="1">
      <alignment horizontal="left"/>
    </xf>
    <xf numFmtId="0" fontId="5" fillId="0" borderId="1" xfId="7">
      <alignment vertical="center"/>
    </xf>
    <xf numFmtId="0" fontId="0" fillId="0" borderId="0" xfId="0">
      <alignment horizontal="left" vertical="center" wrapText="1" indent="1"/>
    </xf>
  </cellXfs>
  <cellStyles count="19">
    <cellStyle name="Comma" xfId="1" builtinId="3" customBuiltin="1"/>
    <cellStyle name="Currency" xfId="2" builtinId="4" customBuiltin="1"/>
    <cellStyle name="Date" xfId="12" xr:uid="{00000000-0005-0000-0000-000002000000}"/>
    <cellStyle name="Explanatory Text" xfId="11" builtinId="53" customBuiltin="1"/>
    <cellStyle name="Followed Hyperlink" xfId="9" builtinId="9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4" builtinId="8" customBuiltin="1"/>
    <cellStyle name="Input" xfId="10" builtinId="20" customBuiltin="1"/>
    <cellStyle name="Left Border" xfId="14" xr:uid="{00000000-0005-0000-0000-00000B000000}"/>
    <cellStyle name="Normal" xfId="0" builtinId="0" customBuiltin="1"/>
    <cellStyle name="Per Day" xfId="17" xr:uid="{00000000-0005-0000-0000-00000D000000}"/>
    <cellStyle name="Per Mile" xfId="16" xr:uid="{00000000-0005-0000-0000-00000E000000}"/>
    <cellStyle name="Per Night" xfId="18" xr:uid="{00000000-0005-0000-0000-00000F000000}"/>
    <cellStyle name="Phone" xfId="13" xr:uid="{00000000-0005-0000-0000-000010000000}"/>
    <cellStyle name="Right Border" xfId="15" xr:uid="{00000000-0005-0000-0000-000011000000}"/>
    <cellStyle name="Title" xfId="3" builtinId="15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0" indent="0" justifyLastLine="0" shrinkToFit="0" readingOrder="0"/>
    </dxf>
    <dxf>
      <font>
        <b/>
        <i val="0"/>
        <color theme="3"/>
      </font>
      <fill>
        <patternFill>
          <bgColor theme="0" tint="-0.14996795556505021"/>
        </patternFill>
      </fill>
      <border>
        <horizontal/>
      </border>
    </dxf>
    <dxf>
      <font>
        <b/>
        <i val="0"/>
        <color theme="0"/>
      </font>
      <fill>
        <patternFill patternType="solid">
          <fgColor theme="5"/>
          <bgColor theme="1" tint="0.499984740745262"/>
        </patternFill>
      </fill>
      <border>
        <top style="thick">
          <color theme="0"/>
        </top>
        <vertical style="thin">
          <color theme="2" tint="-0.24994659260841701"/>
        </vertical>
        <horizontal/>
      </border>
    </dxf>
    <dxf>
      <font>
        <b val="0"/>
        <i val="0"/>
        <color theme="3"/>
      </font>
      <fill>
        <patternFill patternType="none"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34998626667073579"/>
        </horizontal>
      </border>
    </dxf>
  </dxfs>
  <tableStyles count="1" defaultTableStyle="Expense Report" defaultPivotStyle="PivotStyleLight16">
    <tableStyle name="Expense Report" pivot="0" count="3" xr9:uid="{00000000-0011-0000-FFFF-FFFF00000000}">
      <tableStyleElement type="wholeTable" dxfId="12"/>
      <tableStyleElement type="headerRow" dxfId="11"/>
      <tableStyleElement type="totalRow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s" displayName="Expenses" ref="B10:F22" totalsRowCount="1" dataDxfId="9" totalsRowDxfId="8" headerRowCellStyle="Heading 4">
  <tableColumns count="5">
    <tableColumn id="1" xr3:uid="{00000000-0010-0000-0000-000001000000}" name="DATE" totalsRowLabel="TOTALS" totalsRowDxfId="4" dataCellStyle="Date"/>
    <tableColumn id="2" xr3:uid="{00000000-0010-0000-0000-000002000000}" name="ACCOUNT" totalsRowDxfId="3" dataCellStyle="Normal"/>
    <tableColumn id="3" xr3:uid="{00000000-0010-0000-0000-000003000000}" name="DESCRIPTION" totalsRowDxfId="2" dataCellStyle="Normal"/>
    <tableColumn id="4" xr3:uid="{00000000-0010-0000-0000-000004000000}" name="Amount" totalsRowFunction="sum" totalsRowDxfId="1" dataCellStyle="Currency"/>
    <tableColumn id="10" xr3:uid="{00000000-0010-0000-0000-00000A000000}" name="Remark" totalsRowFunction="sum" totalsRowDxfId="0" dataCellStyle="Currency"/>
  </tableColumns>
  <tableStyleInfo name="Expense Report" showFirstColumn="0" showLastColumn="0" showRowStripes="1" showColumnStripes="0"/>
  <extLst>
    <ext xmlns:x14="http://schemas.microsoft.com/office/spreadsheetml/2009/9/main" uri="{504A1905-F514-4f6f-8877-14C23A59335A}">
      <x14:table altTextSummary="Enter travel details, such as Date, different expenses, and Odometer Start &amp; End readings in this table. Mileage Total and Total expenses are automatically calculated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oho">
  <a:themeElements>
    <a:clrScheme name="Expense Report">
      <a:dk1>
        <a:srgbClr val="000000"/>
      </a:dk1>
      <a:lt1>
        <a:srgbClr val="FFFFFF"/>
      </a:lt1>
      <a:dk2>
        <a:srgbClr val="2E2224"/>
      </a:dk2>
      <a:lt2>
        <a:srgbClr val="FFFFFF"/>
      </a:lt2>
      <a:accent1>
        <a:srgbClr val="664B42"/>
      </a:accent1>
      <a:accent2>
        <a:srgbClr val="4B5A60"/>
      </a:accent2>
      <a:accent3>
        <a:srgbClr val="9C5238"/>
      </a:accent3>
      <a:accent4>
        <a:srgbClr val="C1AD79"/>
      </a:accent4>
      <a:accent5>
        <a:srgbClr val="667559"/>
      </a:accent5>
      <a:accent6>
        <a:srgbClr val="604965"/>
      </a:accent6>
      <a:hlink>
        <a:srgbClr val="4B5A60"/>
      </a:hlink>
      <a:folHlink>
        <a:srgbClr val="60496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HO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7000"/>
                <a:satMod val="150000"/>
              </a:schemeClr>
            </a:gs>
            <a:gs pos="30000">
              <a:schemeClr val="phClr">
                <a:shade val="94000"/>
                <a:satMod val="130000"/>
              </a:schemeClr>
            </a:gs>
            <a:gs pos="45000">
              <a:schemeClr val="phClr">
                <a:shade val="100000"/>
                <a:satMod val="120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4000"/>
                <a:satMod val="130000"/>
              </a:schemeClr>
            </a:gs>
            <a:gs pos="100000">
              <a:schemeClr val="phClr">
                <a:shade val="67000"/>
                <a:satMod val="150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2700000" algn="br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38100" dir="2700000" algn="br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38100" dir="2700000" algn="br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2700000"/>
            </a:lightRig>
          </a:scene3d>
          <a:sp3d contourW="19050">
            <a:bevelT w="31750" h="38100"/>
            <a:contourClr>
              <a:schemeClr val="phClr">
                <a:shade val="15000"/>
                <a:satMod val="11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64000"/>
                <a:satMod val="210000"/>
              </a:schemeClr>
            </a:gs>
            <a:gs pos="40000">
              <a:schemeClr val="phClr">
                <a:tint val="72000"/>
                <a:shade val="99000"/>
                <a:satMod val="200000"/>
              </a:schemeClr>
            </a:gs>
            <a:gs pos="100000">
              <a:schemeClr val="phClr">
                <a:tint val="100000"/>
                <a:shade val="30000"/>
                <a:alpha val="100000"/>
                <a:satMod val="175000"/>
                <a:lumMod val="100000"/>
              </a:schemeClr>
            </a:gs>
          </a:gsLst>
          <a:path path="circle">
            <a:fillToRect l="50000" t="-80000" r="50000" b="18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86000"/>
                <a:alpha val="90000"/>
              </a:schemeClr>
              <a:schemeClr val="phClr">
                <a:shade val="49000"/>
                <a:satMod val="120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autoPageBreaks="0" fitToPage="1"/>
  </sheetPr>
  <dimension ref="B1:F22"/>
  <sheetViews>
    <sheetView showGridLines="0" tabSelected="1" zoomScaleNormal="100" workbookViewId="0">
      <selection activeCell="E17" sqref="E17"/>
    </sheetView>
  </sheetViews>
  <sheetFormatPr defaultRowHeight="30" customHeight="1" x14ac:dyDescent="0.25"/>
  <cols>
    <col min="1" max="1" width="2.7109375" customWidth="1"/>
    <col min="2" max="3" width="15.7109375" customWidth="1"/>
    <col min="4" max="4" width="42.7109375" customWidth="1"/>
    <col min="5" max="5" width="16.85546875" customWidth="1"/>
    <col min="6" max="6" width="39" customWidth="1"/>
    <col min="7" max="7" width="2.7109375" customWidth="1"/>
  </cols>
  <sheetData>
    <row r="1" spans="2:6" ht="36.75" customHeight="1" x14ac:dyDescent="0.35">
      <c r="B1" s="9" t="s">
        <v>12</v>
      </c>
    </row>
    <row r="2" spans="2:6" ht="21" customHeight="1" x14ac:dyDescent="0.25">
      <c r="B2" s="4" t="s">
        <v>13</v>
      </c>
    </row>
    <row r="3" spans="2:6" ht="30.75" customHeight="1" x14ac:dyDescent="0.25">
      <c r="B3" s="5"/>
    </row>
    <row r="4" spans="2:6" ht="18" customHeight="1" x14ac:dyDescent="0.25">
      <c r="B4" s="10" t="s">
        <v>4</v>
      </c>
      <c r="C4" s="11" t="s">
        <v>8</v>
      </c>
      <c r="D4" s="11"/>
    </row>
    <row r="5" spans="2:6" ht="18" customHeight="1" x14ac:dyDescent="0.25">
      <c r="B5" s="10" t="s">
        <v>5</v>
      </c>
      <c r="C5" s="11" t="s">
        <v>0</v>
      </c>
      <c r="D5" s="11"/>
    </row>
    <row r="6" spans="2:6" ht="18" customHeight="1" x14ac:dyDescent="0.25">
      <c r="B6" s="10" t="s">
        <v>6</v>
      </c>
      <c r="C6" s="11" t="s">
        <v>9</v>
      </c>
      <c r="D6" s="11"/>
    </row>
    <row r="7" spans="2:6" ht="18" customHeight="1" x14ac:dyDescent="0.25">
      <c r="B7" s="10" t="s">
        <v>7</v>
      </c>
      <c r="C7" s="11" t="s">
        <v>10</v>
      </c>
      <c r="D7" s="11"/>
    </row>
    <row r="8" spans="2:6" ht="18" customHeight="1" x14ac:dyDescent="0.25"/>
    <row r="9" spans="2:6" ht="18" customHeight="1" x14ac:dyDescent="0.25"/>
    <row r="10" spans="2:6" ht="30" customHeight="1" x14ac:dyDescent="0.25">
      <c r="B10" s="7" t="s">
        <v>1</v>
      </c>
      <c r="C10" s="7" t="s">
        <v>2</v>
      </c>
      <c r="D10" s="7" t="s">
        <v>3</v>
      </c>
      <c r="E10" s="7" t="s">
        <v>17</v>
      </c>
      <c r="F10" s="7" t="s">
        <v>16</v>
      </c>
    </row>
    <row r="11" spans="2:6" ht="30" customHeight="1" x14ac:dyDescent="0.25">
      <c r="B11" s="6">
        <v>46098</v>
      </c>
      <c r="C11" t="s">
        <v>14</v>
      </c>
      <c r="D11" t="s">
        <v>15</v>
      </c>
      <c r="E11" s="8">
        <f>4.22*32</f>
        <v>135.04</v>
      </c>
      <c r="F11" s="8"/>
    </row>
    <row r="12" spans="2:6" ht="30" customHeight="1" x14ac:dyDescent="0.25">
      <c r="B12" s="6">
        <v>46105</v>
      </c>
      <c r="C12" t="s">
        <v>14</v>
      </c>
      <c r="D12" t="s">
        <v>18</v>
      </c>
      <c r="E12" s="8">
        <v>1620.84</v>
      </c>
      <c r="F12" s="8"/>
    </row>
    <row r="13" spans="2:6" ht="30" customHeight="1" x14ac:dyDescent="0.25">
      <c r="B13" s="6"/>
      <c r="D13" t="s">
        <v>19</v>
      </c>
      <c r="E13" s="8">
        <v>390</v>
      </c>
      <c r="F13" s="8" t="s">
        <v>20</v>
      </c>
    </row>
    <row r="14" spans="2:6" ht="30" customHeight="1" x14ac:dyDescent="0.25">
      <c r="B14" s="6"/>
      <c r="D14" t="s">
        <v>21</v>
      </c>
      <c r="E14" s="8">
        <f>65*32</f>
        <v>2080</v>
      </c>
      <c r="F14" s="8"/>
    </row>
    <row r="15" spans="2:6" ht="30" customHeight="1" x14ac:dyDescent="0.25">
      <c r="B15" s="6"/>
      <c r="D15" t="s">
        <v>22</v>
      </c>
      <c r="E15" s="8">
        <f>200*32</f>
        <v>6400</v>
      </c>
      <c r="F15" s="8"/>
    </row>
    <row r="16" spans="2:6" ht="30" customHeight="1" x14ac:dyDescent="0.25">
      <c r="B16" s="6"/>
      <c r="D16" t="s">
        <v>23</v>
      </c>
      <c r="E16" s="8">
        <f>20*32</f>
        <v>640</v>
      </c>
      <c r="F16" s="8"/>
    </row>
    <row r="17" spans="2:6" ht="30" customHeight="1" x14ac:dyDescent="0.25">
      <c r="B17" s="6"/>
      <c r="D17" t="s">
        <v>24</v>
      </c>
      <c r="E17" s="8">
        <f>26.75*32</f>
        <v>856</v>
      </c>
      <c r="F17" s="8"/>
    </row>
    <row r="18" spans="2:6" ht="30" customHeight="1" x14ac:dyDescent="0.25">
      <c r="B18" s="6"/>
      <c r="E18" s="8"/>
      <c r="F18" s="8"/>
    </row>
    <row r="19" spans="2:6" ht="30" customHeight="1" x14ac:dyDescent="0.25">
      <c r="B19" s="6"/>
      <c r="E19" s="8"/>
      <c r="F19" s="8"/>
    </row>
    <row r="20" spans="2:6" ht="30" customHeight="1" x14ac:dyDescent="0.25">
      <c r="B20" s="6"/>
      <c r="E20" s="8"/>
      <c r="F20" s="8"/>
    </row>
    <row r="21" spans="2:6" ht="30" customHeight="1" x14ac:dyDescent="0.25">
      <c r="B21" s="6"/>
      <c r="E21" s="8"/>
      <c r="F21" s="8"/>
    </row>
    <row r="22" spans="2:6" ht="30" customHeight="1" x14ac:dyDescent="0.25">
      <c r="B22" s="1" t="s">
        <v>11</v>
      </c>
      <c r="C22" s="2"/>
      <c r="D22" s="2"/>
      <c r="E22" s="3">
        <f>SUBTOTAL(109,Expenses[Amount])</f>
        <v>12121.880000000001</v>
      </c>
      <c r="F22" s="3">
        <f>SUBTOTAL(109,Expenses[Remark])</f>
        <v>0</v>
      </c>
    </row>
  </sheetData>
  <mergeCells count="4">
    <mergeCell ref="C4:D4"/>
    <mergeCell ref="C5:D5"/>
    <mergeCell ref="C6:D6"/>
    <mergeCell ref="C7:D7"/>
  </mergeCells>
  <conditionalFormatting sqref="E11:E21">
    <cfRule type="expression" dxfId="7" priority="63">
      <formula>SUMIF($B$11:$B$21,$B11,$E$11:$E$21)&gt;#REF!</formula>
    </cfRule>
  </conditionalFormatting>
  <conditionalFormatting sqref="E11:F21">
    <cfRule type="expression" dxfId="6" priority="1">
      <formula>E11&lt;0</formula>
    </cfRule>
  </conditionalFormatting>
  <conditionalFormatting sqref="F11:F21">
    <cfRule type="expression" dxfId="5" priority="66">
      <formula>SUMIF($B$11:$B$21,$B11,$F$11:$F$21)&gt;#REF!</formula>
    </cfRule>
  </conditionalFormatting>
  <dataValidations xWindow="100" yWindow="300" count="17">
    <dataValidation allowBlank="1" showInputMessage="1" showErrorMessage="1" prompt="Create a Business Expense Report in this worksheet. Enter expense descriptions and amounts in Expenses table. Total expenses are automatically calculated" sqref="A1" xr:uid="{00000000-0002-0000-0000-000000000000}"/>
    <dataValidation allowBlank="1" showInputMessage="1" showErrorMessage="1" prompt="Title of this worksheet is in this cell. Enter company name and address in cells below" sqref="B1" xr:uid="{00000000-0002-0000-0000-000001000000}"/>
    <dataValidation allowBlank="1" showInputMessage="1" showErrorMessage="1" prompt="Enter company name in this cell" sqref="B2" xr:uid="{00000000-0002-0000-0000-000002000000}"/>
    <dataValidation allowBlank="1" showInputMessage="1" showErrorMessage="1" prompt="Enter company address in this cell. Enter company expense details and expense rates in cells B4 through M8" sqref="B3" xr:uid="{00000000-0002-0000-0000-000003000000}"/>
    <dataValidation allowBlank="1" showInputMessage="1" showErrorMessage="1" prompt="Enter Expense Report submitter Name in cell at right" sqref="B4" xr:uid="{00000000-0002-0000-0000-00000C000000}"/>
    <dataValidation allowBlank="1" showInputMessage="1" showErrorMessage="1" prompt="Enter Expense Report submitter Name in this cell" sqref="C4:D4" xr:uid="{00000000-0002-0000-0000-00000D000000}"/>
    <dataValidation allowBlank="1" showInputMessage="1" showErrorMessage="1" prompt="Enter Department in cell at right" sqref="B5" xr:uid="{00000000-0002-0000-0000-00000E000000}"/>
    <dataValidation allowBlank="1" showInputMessage="1" showErrorMessage="1" prompt="Enter Department in this cell" sqref="C5:D5" xr:uid="{00000000-0002-0000-0000-00000F000000}"/>
    <dataValidation allowBlank="1" showInputMessage="1" showErrorMessage="1" prompt="Enter Position in cell at right" sqref="B6" xr:uid="{00000000-0002-0000-0000-000010000000}"/>
    <dataValidation allowBlank="1" showInputMessage="1" showErrorMessage="1" prompt="Enter Position in this cell" sqref="C6:D6" xr:uid="{00000000-0002-0000-0000-000011000000}"/>
    <dataValidation allowBlank="1" showInputMessage="1" showErrorMessage="1" prompt="Enter Manager name in cell at right" sqref="B7" xr:uid="{00000000-0002-0000-0000-000012000000}"/>
    <dataValidation allowBlank="1" showInputMessage="1" showErrorMessage="1" prompt="Enter Manager name in this cell and expense purpose and other details in cells I4 through J8" sqref="C7:D7" xr:uid="{00000000-0002-0000-0000-000013000000}"/>
    <dataValidation allowBlank="1" showInputMessage="1" showErrorMessage="1" prompt="Enter Date in this column under this heading" sqref="B10" xr:uid="{00000000-0002-0000-0000-000028000000}"/>
    <dataValidation allowBlank="1" showInputMessage="1" showErrorMessage="1" prompt="Enter Account in this column under this heading" sqref="C10" xr:uid="{00000000-0002-0000-0000-000029000000}"/>
    <dataValidation allowBlank="1" showInputMessage="1" showErrorMessage="1" prompt="Enter Description in this column under this heading" sqref="D10" xr:uid="{00000000-0002-0000-0000-00002A000000}"/>
    <dataValidation allowBlank="1" showInputMessage="1" showErrorMessage="1" prompt="Enter Hotel expenses in this column under this heading" sqref="E10" xr:uid="{00000000-0002-0000-0000-00002B000000}"/>
    <dataValidation allowBlank="1" showInputMessage="1" showErrorMessage="1" prompt="Enter Miscellaneous expenses in this column under this heading" sqref="F10" xr:uid="{00000000-0002-0000-0000-00002F000000}"/>
  </dataValidations>
  <printOptions horizontalCentered="1"/>
  <pageMargins left="0.25" right="0.25" top="0.75" bottom="0.75" header="0.3" footer="0.3"/>
  <pageSetup fitToHeight="0" orientation="landscape" r:id="rId1"/>
  <headerFooter differentFirst="1">
    <oddFooter>&amp;CPage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C1564FA1-A819-4B0C-A3D7-4C70AEDB26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B48A48-5268-4115-B2F2-4BF9481F03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9CA549-0B83-46B7-BE42-08D27B16AA2F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TM02780257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Expense Report</vt:lpstr>
      <vt:lpstr>AllData</vt:lpstr>
      <vt:lpstr>ColumnTitle1</vt:lpstr>
      <vt:lpstr>'Expense Report'!Print_Titles</vt:lpstr>
      <vt:lpstr>RowTitleRegion2..F7</vt:lpstr>
      <vt:lpstr>RowTitleRegion3..J8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2019-07-07T22:28:54Z</dcterms:created>
  <dcterms:modified xsi:type="dcterms:W3CDTF">2026-03-31T16:44:45Z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